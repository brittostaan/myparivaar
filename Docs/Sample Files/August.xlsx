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/Desktop/"/>
    </mc:Choice>
  </mc:AlternateContent>
  <xr:revisionPtr revIDLastSave="0" documentId="8_{E89197C8-65E4-0B41-A780-54D57A9C6EAF}" xr6:coauthVersionLast="47" xr6:coauthVersionMax="47" xr10:uidLastSave="{00000000-0000-0000-0000-000000000000}"/>
  <bookViews>
    <workbookView xWindow="780" yWindow="1000" windowWidth="27640" windowHeight="15580" xr2:uid="{08B29B54-F945-AF4D-AB97-65BA4F3C1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7" i="1"/>
  <c r="B36" i="1"/>
  <c r="B33" i="1"/>
  <c r="B35" i="1" s="1"/>
  <c r="H25" i="1"/>
  <c r="B38" i="1" s="1"/>
  <c r="F25" i="1"/>
  <c r="D25" i="1"/>
  <c r="B40" i="1" l="1"/>
  <c r="B46" i="1" s="1"/>
</calcChain>
</file>

<file path=xl/sharedStrings.xml><?xml version="1.0" encoding="utf-8"?>
<sst xmlns="http://schemas.openxmlformats.org/spreadsheetml/2006/main" count="70" uniqueCount="66">
  <si>
    <t>household</t>
  </si>
  <si>
    <t>classes</t>
  </si>
  <si>
    <t>savings</t>
  </si>
  <si>
    <t>others</t>
  </si>
  <si>
    <t>rent</t>
  </si>
  <si>
    <t>Devi yoga</t>
  </si>
  <si>
    <t>PO</t>
  </si>
  <si>
    <t>misc</t>
  </si>
  <si>
    <t>maintenance - (PO)</t>
  </si>
  <si>
    <t>Devi 6-7</t>
  </si>
  <si>
    <t>IOB</t>
  </si>
  <si>
    <t xml:space="preserve">credit card </t>
  </si>
  <si>
    <t xml:space="preserve">Ahuja maintenance </t>
  </si>
  <si>
    <t>Riya van</t>
  </si>
  <si>
    <t>kevin icici</t>
  </si>
  <si>
    <t>bajaj loan</t>
  </si>
  <si>
    <t>devi mobile</t>
  </si>
  <si>
    <t>Riya commutation</t>
  </si>
  <si>
    <t>riya icici</t>
  </si>
  <si>
    <t xml:space="preserve">Devi </t>
  </si>
  <si>
    <t>kevin/riya</t>
  </si>
  <si>
    <t>Riya cello rent</t>
  </si>
  <si>
    <t>piggy - D</t>
  </si>
  <si>
    <t xml:space="preserve">tanishq </t>
  </si>
  <si>
    <t>ACT</t>
  </si>
  <si>
    <t>cello class (750 per class)</t>
  </si>
  <si>
    <t>piggy - R</t>
  </si>
  <si>
    <t>eb</t>
  </si>
  <si>
    <t>Riya violin</t>
  </si>
  <si>
    <t>piggy - K</t>
  </si>
  <si>
    <t>milk</t>
  </si>
  <si>
    <t>piggy - B</t>
  </si>
  <si>
    <t xml:space="preserve">grocery </t>
  </si>
  <si>
    <t>Kevin LIC RD</t>
  </si>
  <si>
    <t>cylinder</t>
  </si>
  <si>
    <t xml:space="preserve">Ri LIC RD </t>
  </si>
  <si>
    <t>garland</t>
  </si>
  <si>
    <t>Locker RD</t>
  </si>
  <si>
    <t>parlour</t>
  </si>
  <si>
    <t>Riya fees RD</t>
  </si>
  <si>
    <t>doctor/medicines</t>
  </si>
  <si>
    <t>kev fees</t>
  </si>
  <si>
    <t>petrol</t>
  </si>
  <si>
    <t>church</t>
  </si>
  <si>
    <t>latha</t>
  </si>
  <si>
    <t>Ahuja - maid</t>
  </si>
  <si>
    <t>car wash</t>
  </si>
  <si>
    <t xml:space="preserve">kevin </t>
  </si>
  <si>
    <t>week 1 weekly travel</t>
  </si>
  <si>
    <t>1st-7th</t>
  </si>
  <si>
    <t>week 1 vegetables/fruits</t>
  </si>
  <si>
    <t>week 2 weekly travel</t>
  </si>
  <si>
    <t>8th-14th</t>
  </si>
  <si>
    <t>week 2 vegetables/fruits</t>
  </si>
  <si>
    <t>week 3 weekly travel</t>
  </si>
  <si>
    <t>15th-21st</t>
  </si>
  <si>
    <t>week 3 vegetables/fruits</t>
  </si>
  <si>
    <t>week 4 weekly travel</t>
  </si>
  <si>
    <t>22nd-28th</t>
  </si>
  <si>
    <t>week 4 vegetables/fruits</t>
  </si>
  <si>
    <t>week 5 weekly travel</t>
  </si>
  <si>
    <t>29th-4th</t>
  </si>
  <si>
    <t>week 5 vegetables/fruits</t>
  </si>
  <si>
    <t>Britto - balance july</t>
  </si>
  <si>
    <t>kevin return tic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</si>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</sst>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Fill="1" applyBorder="1" applyAlignment="1">
      <alignment horizontal="right" vertical="center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Border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165" fontId="0" fillId="0" borderId="0" xfId="1" applyNumberFormat="1" applyFont="1" applyAlignment="1">
      <alignment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right"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8213-7EE1-8F48-BDC5-D29D37840294}">
  <dimension ref="A1:K46"/>
  <sheetViews>
    <sheetView tabSelected="1" workbookViewId="0"/>
  </sheetViews>
  <sheetFormatPr baseColWidth="10" defaultRowHeight="25" customHeight="1" x14ac:dyDescent="0.2"/>
  <cols>
    <col min="1" max="1" width="27.5" style="6" bestFit="1" customWidth="1"/>
    <col min="2" max="2" width="12.33203125" style="3" customWidth="1"/>
    <col min="3" max="3" width="23" style="3" customWidth="1"/>
    <col min="4" max="4" width="12.33203125" style="3" customWidth="1"/>
    <col min="5" max="5" width="22.33203125" style="7" customWidth="1"/>
    <col min="6" max="6" width="11.1640625" style="3" bestFit="1" customWidth="1"/>
    <col min="7" max="7" width="23" style="7" bestFit="1" customWidth="1"/>
    <col min="8" max="8" width="12.6640625" style="12" customWidth="1"/>
    <col min="9" max="9" width="11.1640625" style="7" customWidth="1"/>
    <col min="10" max="10" width="23.1640625" style="7" customWidth="1"/>
    <col min="11" max="16384" width="10.83203125" style="7"/>
  </cols>
  <sheetData>
    <row r="1" spans="1:11" ht="25" customHeight="1" x14ac:dyDescent="0.2">
      <c r="A1" s="1" t="s">
        <v>0</v>
      </c>
      <c r="B1" s="2"/>
      <c r="C1" s="1" t="s">
        <v>1</v>
      </c>
      <c r="E1" s="1" t="s">
        <v>2</v>
      </c>
      <c r="F1" s="4"/>
      <c r="G1" s="2" t="s">
        <v>3</v>
      </c>
      <c r="H1" s="5"/>
      <c r="I1" s="6"/>
    </row>
    <row r="2" spans="1:11" ht="25" customHeight="1" x14ac:dyDescent="0.2">
      <c r="A2" s="6" t="s">
        <v>4</v>
      </c>
      <c r="B2" s="3">
        <v>44000</v>
      </c>
      <c r="C2" s="6" t="s">
        <v>5</v>
      </c>
      <c r="D2" s="3">
        <v>2000</v>
      </c>
      <c r="E2" s="8" t="s">
        <v>6</v>
      </c>
      <c r="F2" s="9">
        <v>1000</v>
      </c>
      <c r="G2" s="10" t="s">
        <v>7</v>
      </c>
      <c r="H2" s="11">
        <v>10000</v>
      </c>
      <c r="I2" s="10"/>
      <c r="K2" s="3"/>
    </row>
    <row r="3" spans="1:11" ht="25" customHeight="1" x14ac:dyDescent="0.2">
      <c r="A3" s="6" t="s">
        <v>8</v>
      </c>
      <c r="B3" s="3">
        <v>3700</v>
      </c>
      <c r="C3" s="3" t="s">
        <v>9</v>
      </c>
      <c r="D3" s="3">
        <v>1000</v>
      </c>
      <c r="E3" s="6" t="s">
        <v>10</v>
      </c>
      <c r="F3" s="12">
        <v>1000</v>
      </c>
      <c r="G3" s="7" t="s">
        <v>11</v>
      </c>
      <c r="H3" s="12">
        <v>50000</v>
      </c>
      <c r="K3" s="13"/>
    </row>
    <row r="4" spans="1:11" ht="25" customHeight="1" x14ac:dyDescent="0.2">
      <c r="A4" s="6" t="s">
        <v>12</v>
      </c>
      <c r="B4" s="13">
        <v>3000</v>
      </c>
      <c r="C4" s="7" t="s">
        <v>13</v>
      </c>
      <c r="D4" s="13">
        <v>3500</v>
      </c>
      <c r="E4" s="8" t="s">
        <v>14</v>
      </c>
      <c r="F4" s="9">
        <v>1000</v>
      </c>
      <c r="G4" s="7" t="s">
        <v>15</v>
      </c>
      <c r="H4" s="14">
        <v>20000</v>
      </c>
      <c r="J4" s="3"/>
    </row>
    <row r="5" spans="1:11" ht="25" customHeight="1" x14ac:dyDescent="0.2">
      <c r="A5" s="6" t="s">
        <v>16</v>
      </c>
      <c r="B5" s="3">
        <v>400</v>
      </c>
      <c r="C5" s="6" t="s">
        <v>17</v>
      </c>
      <c r="D5" s="15">
        <v>10000</v>
      </c>
      <c r="E5" s="6" t="s">
        <v>18</v>
      </c>
      <c r="F5" s="12">
        <v>1000</v>
      </c>
      <c r="G5" s="7" t="s">
        <v>19</v>
      </c>
      <c r="H5" s="14">
        <v>10000</v>
      </c>
      <c r="J5" s="15"/>
      <c r="K5" s="16"/>
    </row>
    <row r="6" spans="1:11" ht="25" customHeight="1" x14ac:dyDescent="0.2">
      <c r="A6" s="6" t="s">
        <v>20</v>
      </c>
      <c r="B6" s="3">
        <v>800</v>
      </c>
      <c r="C6" s="7" t="s">
        <v>21</v>
      </c>
      <c r="D6" s="15">
        <v>5000</v>
      </c>
      <c r="E6" s="7" t="s">
        <v>22</v>
      </c>
      <c r="F6" s="12">
        <v>1000</v>
      </c>
      <c r="G6" s="7" t="s">
        <v>23</v>
      </c>
      <c r="H6" s="13">
        <v>5000</v>
      </c>
      <c r="J6" s="12"/>
    </row>
    <row r="7" spans="1:11" ht="25" customHeight="1" x14ac:dyDescent="0.2">
      <c r="A7" s="6" t="s">
        <v>24</v>
      </c>
      <c r="B7" s="3">
        <v>890</v>
      </c>
      <c r="C7" s="7" t="s">
        <v>25</v>
      </c>
      <c r="D7" s="13">
        <v>3750</v>
      </c>
      <c r="E7" s="7" t="s">
        <v>26</v>
      </c>
      <c r="F7" s="3">
        <v>500</v>
      </c>
      <c r="J7" s="14"/>
    </row>
    <row r="8" spans="1:11" ht="25" customHeight="1" x14ac:dyDescent="0.2">
      <c r="A8" s="6" t="s">
        <v>27</v>
      </c>
      <c r="B8" s="3">
        <v>3500</v>
      </c>
      <c r="C8" s="6" t="s">
        <v>28</v>
      </c>
      <c r="D8" s="3">
        <v>5000</v>
      </c>
      <c r="E8" s="7" t="s">
        <v>29</v>
      </c>
      <c r="F8" s="3">
        <v>500</v>
      </c>
      <c r="J8" s="3"/>
    </row>
    <row r="9" spans="1:11" ht="25" customHeight="1" x14ac:dyDescent="0.2">
      <c r="A9" s="6" t="s">
        <v>30</v>
      </c>
      <c r="B9" s="3">
        <v>2000</v>
      </c>
      <c r="E9" s="7" t="s">
        <v>31</v>
      </c>
      <c r="F9" s="3">
        <v>500</v>
      </c>
      <c r="H9" s="7"/>
      <c r="J9" s="13"/>
    </row>
    <row r="10" spans="1:11" ht="25" customHeight="1" x14ac:dyDescent="0.2">
      <c r="A10" s="6" t="s">
        <v>32</v>
      </c>
      <c r="B10" s="3">
        <v>10000</v>
      </c>
      <c r="E10" s="8" t="s">
        <v>33</v>
      </c>
      <c r="F10" s="17">
        <v>2900</v>
      </c>
      <c r="J10" s="15"/>
    </row>
    <row r="11" spans="1:11" ht="25" customHeight="1" x14ac:dyDescent="0.2">
      <c r="A11" s="6" t="s">
        <v>34</v>
      </c>
      <c r="B11" s="3">
        <v>850</v>
      </c>
      <c r="C11" s="7"/>
      <c r="D11" s="13"/>
      <c r="E11" s="6" t="s">
        <v>35</v>
      </c>
      <c r="F11" s="3">
        <v>3100</v>
      </c>
      <c r="H11" s="14"/>
      <c r="I11" s="6"/>
    </row>
    <row r="12" spans="1:11" ht="25" customHeight="1" x14ac:dyDescent="0.2">
      <c r="A12" s="6" t="s">
        <v>36</v>
      </c>
      <c r="B12" s="3">
        <v>250</v>
      </c>
      <c r="C12" s="6"/>
      <c r="D12" s="7"/>
      <c r="E12" s="6" t="s">
        <v>37</v>
      </c>
      <c r="F12" s="13">
        <v>2000</v>
      </c>
      <c r="H12" s="18"/>
      <c r="J12" s="19"/>
    </row>
    <row r="13" spans="1:11" ht="25" customHeight="1" x14ac:dyDescent="0.2">
      <c r="A13" s="6" t="s">
        <v>38</v>
      </c>
      <c r="B13" s="3">
        <v>5000</v>
      </c>
      <c r="C13" s="6"/>
      <c r="E13" s="7" t="s">
        <v>39</v>
      </c>
      <c r="F13" s="3">
        <v>12000</v>
      </c>
    </row>
    <row r="14" spans="1:11" ht="25" customHeight="1" x14ac:dyDescent="0.2">
      <c r="A14" s="6" t="s">
        <v>40</v>
      </c>
      <c r="B14" s="3">
        <v>2000</v>
      </c>
      <c r="C14" s="6"/>
      <c r="E14" s="7" t="s">
        <v>41</v>
      </c>
      <c r="F14" s="3">
        <v>50000</v>
      </c>
      <c r="H14" s="18"/>
    </row>
    <row r="15" spans="1:11" ht="25" customHeight="1" x14ac:dyDescent="0.2">
      <c r="A15" s="6" t="s">
        <v>42</v>
      </c>
      <c r="B15" s="3">
        <v>3500</v>
      </c>
      <c r="C15" s="6"/>
      <c r="H15" s="14"/>
    </row>
    <row r="16" spans="1:11" ht="25" customHeight="1" x14ac:dyDescent="0.2">
      <c r="A16" s="6" t="s">
        <v>43</v>
      </c>
      <c r="B16" s="3">
        <v>2400</v>
      </c>
      <c r="C16" s="6"/>
      <c r="H16" s="14"/>
    </row>
    <row r="17" spans="1:8" ht="25" customHeight="1" x14ac:dyDescent="0.2">
      <c r="A17" s="6" t="s">
        <v>44</v>
      </c>
      <c r="B17" s="3">
        <v>7000</v>
      </c>
      <c r="C17" s="6"/>
      <c r="H17" s="20"/>
    </row>
    <row r="18" spans="1:8" ht="25" customHeight="1" x14ac:dyDescent="0.2">
      <c r="A18" s="6" t="s">
        <v>45</v>
      </c>
      <c r="B18" s="3">
        <v>3000</v>
      </c>
      <c r="C18" s="6"/>
      <c r="H18" s="20"/>
    </row>
    <row r="19" spans="1:8" ht="25" customHeight="1" x14ac:dyDescent="0.2">
      <c r="A19" s="6" t="s">
        <v>46</v>
      </c>
      <c r="B19" s="21">
        <v>750</v>
      </c>
      <c r="C19" s="6"/>
      <c r="H19" s="20"/>
    </row>
    <row r="20" spans="1:8" ht="25" customHeight="1" x14ac:dyDescent="0.2">
      <c r="A20" s="6" t="s">
        <v>47</v>
      </c>
      <c r="B20" s="21">
        <v>3000</v>
      </c>
      <c r="H20" s="20"/>
    </row>
    <row r="21" spans="1:8" ht="25" customHeight="1" x14ac:dyDescent="0.2">
      <c r="A21" s="6" t="s">
        <v>48</v>
      </c>
      <c r="B21" s="3">
        <v>1000</v>
      </c>
      <c r="C21" s="7" t="s">
        <v>49</v>
      </c>
    </row>
    <row r="22" spans="1:8" ht="25" customHeight="1" x14ac:dyDescent="0.2">
      <c r="A22" s="6" t="s">
        <v>50</v>
      </c>
      <c r="B22" s="3">
        <v>2500</v>
      </c>
      <c r="C22" s="7"/>
      <c r="H22" s="20"/>
    </row>
    <row r="23" spans="1:8" ht="25" customHeight="1" x14ac:dyDescent="0.2">
      <c r="A23" s="6" t="s">
        <v>51</v>
      </c>
      <c r="B23" s="3">
        <v>1000</v>
      </c>
      <c r="C23" s="7" t="s">
        <v>52</v>
      </c>
    </row>
    <row r="24" spans="1:8" ht="25" customHeight="1" x14ac:dyDescent="0.2">
      <c r="A24" s="6" t="s">
        <v>53</v>
      </c>
      <c r="B24" s="3">
        <v>2500</v>
      </c>
      <c r="C24" s="7"/>
      <c r="D24" s="7"/>
      <c r="F24" s="7"/>
      <c r="H24" s="20"/>
    </row>
    <row r="25" spans="1:8" ht="25" customHeight="1" x14ac:dyDescent="0.2">
      <c r="A25" s="6" t="s">
        <v>54</v>
      </c>
      <c r="B25" s="3">
        <v>1000</v>
      </c>
      <c r="C25" s="7" t="s">
        <v>55</v>
      </c>
      <c r="D25" s="3">
        <f>SUM(D2:D24)</f>
        <v>30250</v>
      </c>
      <c r="E25" s="3"/>
      <c r="F25" s="3">
        <f>SUM(F2:F24)</f>
        <v>76500</v>
      </c>
      <c r="G25" s="3"/>
      <c r="H25" s="3">
        <f t="shared" ref="H25" si="0">SUM(H2:H24)</f>
        <v>95000</v>
      </c>
    </row>
    <row r="26" spans="1:8" ht="25" customHeight="1" x14ac:dyDescent="0.2">
      <c r="A26" s="6" t="s">
        <v>56</v>
      </c>
      <c r="B26" s="3">
        <v>2500</v>
      </c>
      <c r="D26" s="7"/>
      <c r="F26" s="7"/>
      <c r="H26" s="20"/>
    </row>
    <row r="27" spans="1:8" ht="25" customHeight="1" x14ac:dyDescent="0.2">
      <c r="A27" s="6" t="s">
        <v>57</v>
      </c>
      <c r="B27" s="3">
        <v>1000</v>
      </c>
      <c r="C27" s="7" t="s">
        <v>58</v>
      </c>
      <c r="D27" s="7"/>
      <c r="F27" s="7"/>
      <c r="H27" s="20"/>
    </row>
    <row r="28" spans="1:8" ht="25" customHeight="1" x14ac:dyDescent="0.2">
      <c r="A28" s="6" t="s">
        <v>59</v>
      </c>
      <c r="B28" s="3">
        <v>2500</v>
      </c>
      <c r="D28" s="7"/>
      <c r="F28" s="7"/>
      <c r="H28" s="20"/>
    </row>
    <row r="29" spans="1:8" ht="25" customHeight="1" x14ac:dyDescent="0.2">
      <c r="A29" s="6" t="s">
        <v>60</v>
      </c>
      <c r="B29" s="3">
        <v>1000</v>
      </c>
      <c r="C29" s="7" t="s">
        <v>61</v>
      </c>
      <c r="D29" s="7"/>
      <c r="F29" s="7"/>
      <c r="H29" s="20"/>
    </row>
    <row r="30" spans="1:8" ht="25" customHeight="1" x14ac:dyDescent="0.2">
      <c r="A30" s="6" t="s">
        <v>62</v>
      </c>
      <c r="B30" s="3">
        <v>2500</v>
      </c>
      <c r="D30" s="7"/>
      <c r="F30" s="7"/>
    </row>
    <row r="31" spans="1:8" ht="25" customHeight="1" x14ac:dyDescent="0.2">
      <c r="C31" s="7"/>
      <c r="D31" s="7"/>
      <c r="F31" s="7"/>
    </row>
    <row r="32" spans="1:8" ht="25" customHeight="1" x14ac:dyDescent="0.2">
      <c r="C32" s="7"/>
      <c r="D32" s="7"/>
      <c r="F32" s="7"/>
    </row>
    <row r="33" spans="1:9" ht="25" customHeight="1" x14ac:dyDescent="0.2">
      <c r="B33" s="3">
        <f>SUM(B2:B32)</f>
        <v>113540</v>
      </c>
      <c r="C33" s="7"/>
    </row>
    <row r="35" spans="1:9" ht="25" customHeight="1" x14ac:dyDescent="0.2">
      <c r="A35" s="6" t="s">
        <v>0</v>
      </c>
      <c r="B35" s="3">
        <f>B33</f>
        <v>113540</v>
      </c>
    </row>
    <row r="36" spans="1:9" ht="25" customHeight="1" x14ac:dyDescent="0.2">
      <c r="A36" s="6" t="s">
        <v>1</v>
      </c>
      <c r="B36" s="3">
        <f>D25</f>
        <v>30250</v>
      </c>
    </row>
    <row r="37" spans="1:9" ht="25" customHeight="1" x14ac:dyDescent="0.2">
      <c r="A37" s="6" t="s">
        <v>2</v>
      </c>
      <c r="B37" s="3">
        <f>F25</f>
        <v>76500</v>
      </c>
    </row>
    <row r="38" spans="1:9" s="22" customFormat="1" ht="25" customHeight="1" x14ac:dyDescent="0.2">
      <c r="A38" s="6" t="s">
        <v>3</v>
      </c>
      <c r="B38" s="3">
        <f>H25</f>
        <v>95000</v>
      </c>
      <c r="C38" s="3"/>
      <c r="D38" s="3"/>
      <c r="E38" s="7"/>
      <c r="F38" s="3"/>
      <c r="G38" s="7"/>
      <c r="H38" s="12"/>
      <c r="I38" s="7"/>
    </row>
    <row r="40" spans="1:9" ht="25" customHeight="1" x14ac:dyDescent="0.2">
      <c r="A40" s="1"/>
      <c r="B40" s="2">
        <f>SUM(B35:B39)</f>
        <v>315290</v>
      </c>
    </row>
    <row r="42" spans="1:9" ht="25" customHeight="1" x14ac:dyDescent="0.2">
      <c r="A42" s="6" t="s">
        <v>63</v>
      </c>
      <c r="B42" s="3">
        <v>37000</v>
      </c>
    </row>
    <row r="43" spans="1:9" ht="25" customHeight="1" x14ac:dyDescent="0.2">
      <c r="A43" s="6" t="s">
        <v>64</v>
      </c>
      <c r="B43" s="23">
        <v>2047</v>
      </c>
    </row>
    <row r="44" spans="1:9" ht="25" customHeight="1" x14ac:dyDescent="0.2">
      <c r="A44" s="20"/>
      <c r="B44" s="23">
        <f>SUM(B42:B43)</f>
        <v>39047</v>
      </c>
    </row>
    <row r="46" spans="1:9" ht="25" customHeight="1" x14ac:dyDescent="0.2">
      <c r="A46" s="6" t="s">
        <v>65</v>
      </c>
      <c r="B46" s="3">
        <f>SUM(B40+B44)</f>
        <v>354337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Gilbert</dc:creator>
  <cp:lastModifiedBy>Kevin Gilbert</cp:lastModifiedBy>
  <dcterms:created xsi:type="dcterms:W3CDTF">2025-07-09T14:29:47Z</dcterms:created>
  <dcterms:modified xsi:type="dcterms:W3CDTF">2025-07-09T14:31:32Z</dcterms:modified>
</cp:coreProperties>
</file>
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evi/Desktop/"/>
    </mc:Choice>
  </mc:AlternateContent>
  <xr:revisionPtr revIDLastSave="0" documentId="8_{4BA5920D-6828-934D-A494-9A4E3E5301AF}" xr6:coauthVersionLast="47" xr6:coauthVersionMax="47" xr10:uidLastSave="{00000000-0000-0000-0000-000000000000}"/>
  <bookViews>
    <workbookView xWindow="780" yWindow="1000" windowWidth="27640" windowHeight="15200" xr2:uid="{D1231A1B-6334-6346-B5A1-ACD4FD3C0C72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4" i="1" l="1"/>
  <c r="B38" i="1"/>
  <c r="B37" i="1"/>
  <c r="B36" i="1"/>
  <c r="B33" i="1"/>
  <c r="B35" i="1" s="1"/>
  <c r="B40" i="1" s="1"/>
  <c r="B45" i="1" s="1"/>
  <c r="H25" i="1"/>
  <c r="F25" i="1"/>
  <c r="D25" i="1"/>
  <c r="C17" i="1"/>
</calcChain>
</file>

<file path=xl/sharedStrings.xml><?xml version="1.0" encoding="utf-8"?>
<sst xmlns="http://schemas.openxmlformats.org/spreadsheetml/2006/main" count="88" uniqueCount="84">
  <si>
    <t>household</t>
  </si>
  <si>
    <t>classes</t>
  </si>
  <si>
    <t>savings</t>
  </si>
  <si>
    <t>others</t>
  </si>
  <si>
    <t>rent</t>
  </si>
  <si>
    <t>Devi yoga</t>
  </si>
  <si>
    <t>fundsbazaar</t>
  </si>
  <si>
    <t>misc</t>
  </si>
  <si>
    <t>maintenance - (PO)</t>
  </si>
  <si>
    <t>Devi 6-7</t>
  </si>
  <si>
    <t>FD</t>
  </si>
  <si>
    <t>Ahuja</t>
  </si>
  <si>
    <t xml:space="preserve">Ahuja maintenance </t>
  </si>
  <si>
    <t>Riya tuition - accountancy</t>
  </si>
  <si>
    <t>RD1 - 9</t>
  </si>
  <si>
    <t>Kurichi</t>
  </si>
  <si>
    <t>devi mobile</t>
  </si>
  <si>
    <t>Riya van</t>
  </si>
  <si>
    <t>RD2 - 9</t>
  </si>
  <si>
    <t>Tanishq</t>
  </si>
  <si>
    <t>kevin/riya</t>
  </si>
  <si>
    <t>Riya commutation</t>
  </si>
  <si>
    <t>RD3 - 11</t>
  </si>
  <si>
    <t xml:space="preserve">credit card </t>
  </si>
  <si>
    <t>ACT</t>
  </si>
  <si>
    <t>Riya cello rent</t>
  </si>
  <si>
    <t>RD4 - 11</t>
  </si>
  <si>
    <t>bajaj loan</t>
  </si>
  <si>
    <t>eb</t>
  </si>
  <si>
    <t>cello class (750 per class)</t>
  </si>
  <si>
    <t>RD5 - 11</t>
  </si>
  <si>
    <t xml:space="preserve">career launcher </t>
  </si>
  <si>
    <t>milk</t>
  </si>
  <si>
    <t>Riya violin</t>
  </si>
  <si>
    <t>RD6 - 11</t>
  </si>
  <si>
    <t xml:space="preserve">Devi </t>
  </si>
  <si>
    <t xml:space="preserve">grocery </t>
  </si>
  <si>
    <t>PO</t>
  </si>
  <si>
    <t>kevin fees</t>
  </si>
  <si>
    <t>cylinder</t>
  </si>
  <si>
    <t>IOB</t>
  </si>
  <si>
    <t>car service</t>
  </si>
  <si>
    <t>garland</t>
  </si>
  <si>
    <t>kevin icici</t>
  </si>
  <si>
    <t>Resort:</t>
  </si>
  <si>
    <t>parlour</t>
  </si>
  <si>
    <t>riya icici</t>
  </si>
  <si>
    <t>booking</t>
  </si>
  <si>
    <t>doctor/medicines</t>
  </si>
  <si>
    <t>piggy - D</t>
  </si>
  <si>
    <t>activities</t>
  </si>
  <si>
    <t>petrol</t>
  </si>
  <si>
    <t>piggy - R</t>
  </si>
  <si>
    <t>lunch and dinner</t>
  </si>
  <si>
    <t>church</t>
  </si>
  <si>
    <t>piggy - K</t>
  </si>
  <si>
    <t>travel</t>
  </si>
  <si>
    <t>latha</t>
  </si>
  <si>
    <t>piggy - B</t>
  </si>
  <si>
    <t>Ahuja - maid</t>
  </si>
  <si>
    <t>Kevin LIC RD</t>
  </si>
  <si>
    <t>car wash</t>
  </si>
  <si>
    <t xml:space="preserve">Ri LIC RD </t>
  </si>
  <si>
    <t xml:space="preserve">kevin </t>
  </si>
  <si>
    <t>Locker RD</t>
  </si>
  <si>
    <t>week 1 weekly travel</t>
  </si>
  <si>
    <t>1st-7th</t>
  </si>
  <si>
    <t>Riya fees RD</t>
  </si>
  <si>
    <t>week 1 vegetables/fruits</t>
  </si>
  <si>
    <t>kev fees</t>
  </si>
  <si>
    <t>week 2 weekly travel</t>
  </si>
  <si>
    <t>8th-14th</t>
  </si>
  <si>
    <t>week 2 vegetables/fruits</t>
  </si>
  <si>
    <t>week 3 weekly travel</t>
  </si>
  <si>
    <t>15th-21st</t>
  </si>
  <si>
    <t>week 3 vegetables/fruits</t>
  </si>
  <si>
    <t>week 4 weekly travel</t>
  </si>
  <si>
    <t>22nd-28th</t>
  </si>
  <si>
    <t>week 4 vegetables/fruits</t>
  </si>
  <si>
    <t>week 5 weekly travel</t>
  </si>
  <si>
    <t>29th-4th</t>
  </si>
  <si>
    <t>week 5 vegetables/fruits</t>
  </si>
  <si>
    <t>given - 1</t>
  </si>
  <si>
    <t>given - 2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</si>
</sst>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-* #,##0_-;\-* #,##0_-;_-* &quot;-&quot;??_-;_-@_-"/>
    <numFmt numFmtId="165" formatCode="_(* #,##0_);_(* \(#,##0\);_(* &quot;-&quot;??_);_(@_)"/>
  </numFmts>
  <fonts count="4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2"/>
      <color rgb="FFFF0000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7">
    <xf numFmtId="0" fontId="0" fillId="0" borderId="0" xfId="0"/>
    <xf numFmtId="0" fontId="3" fillId="0" borderId="0" xfId="0" applyFont="1" applyAlignment="1">
      <alignment horizontal="left" vertical="center"/>
    </xf>
    <xf numFmtId="164" fontId="3" fillId="0" borderId="0" xfId="1" applyNumberFormat="1" applyFont="1" applyAlignment="1">
      <alignment vertical="center"/>
    </xf>
    <xf numFmtId="164" fontId="0" fillId="0" borderId="0" xfId="1" applyNumberFormat="1" applyFont="1" applyAlignment="1">
      <alignment vertical="center"/>
    </xf>
    <xf numFmtId="164" fontId="3" fillId="0" borderId="0" xfId="1" applyNumberFormat="1" applyFont="1" applyAlignment="1">
      <alignment horizontal="left" vertical="center"/>
    </xf>
    <xf numFmtId="164" fontId="3" fillId="0" borderId="0" xfId="1" applyNumberFormat="1" applyFont="1" applyAlignment="1">
      <alignment horizontal="right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vertical="center"/>
    </xf>
    <xf numFmtId="0" fontId="2" fillId="0" borderId="0" xfId="0" applyFont="1" applyAlignment="1">
      <alignment horizontal="left" vertical="center"/>
    </xf>
    <xf numFmtId="165" fontId="2" fillId="0" borderId="0" xfId="1" applyNumberFormat="1" applyFont="1" applyAlignment="1">
      <alignment horizontal="right" vertical="center"/>
    </xf>
    <xf numFmtId="164" fontId="0" fillId="0" borderId="0" xfId="1" applyNumberFormat="1" applyFont="1" applyAlignment="1">
      <alignment horizontal="left" vertical="center"/>
    </xf>
    <xf numFmtId="164" fontId="0" fillId="0" borderId="0" xfId="1" applyNumberFormat="1" applyFont="1" applyBorder="1" applyAlignment="1">
      <alignment horizontal="right" vertical="center"/>
    </xf>
    <xf numFmtId="0" fontId="2" fillId="0" borderId="0" xfId="0" applyFont="1" applyAlignment="1">
      <alignment vertical="center"/>
    </xf>
    <xf numFmtId="165" fontId="0" fillId="0" borderId="0" xfId="1" applyNumberFormat="1" applyFont="1" applyAlignment="1">
      <alignment vertical="center"/>
    </xf>
    <xf numFmtId="3" fontId="0" fillId="0" borderId="0" xfId="0" applyNumberFormat="1" applyAlignment="1">
      <alignment horizontal="right" vertical="center"/>
    </xf>
    <xf numFmtId="3" fontId="0" fillId="0" borderId="0" xfId="0" applyNumberFormat="1" applyAlignment="1">
      <alignment vertical="center"/>
    </xf>
    <xf numFmtId="164" fontId="0" fillId="0" borderId="0" xfId="0" applyNumberFormat="1" applyAlignment="1">
      <alignment vertical="center"/>
    </xf>
    <xf numFmtId="164" fontId="0" fillId="0" borderId="0" xfId="1" applyNumberFormat="1" applyFont="1" applyAlignment="1">
      <alignment horizontal="right" vertical="center"/>
    </xf>
    <xf numFmtId="0" fontId="0" fillId="0" borderId="0" xfId="0" applyAlignment="1">
      <alignment horizontal="left" vertical="center" wrapText="1"/>
    </xf>
    <xf numFmtId="165" fontId="0" fillId="0" borderId="0" xfId="1" applyNumberFormat="1" applyFont="1" applyFill="1" applyBorder="1" applyAlignment="1">
      <alignment horizontal="right" vertical="center"/>
    </xf>
    <xf numFmtId="164" fontId="0" fillId="0" borderId="0" xfId="1" applyNumberFormat="1" applyFont="1" applyBorder="1" applyAlignment="1">
      <alignment vertical="center"/>
    </xf>
    <xf numFmtId="17" fontId="0" fillId="0" borderId="0" xfId="0" applyNumberFormat="1" applyAlignment="1">
      <alignment vertical="center"/>
    </xf>
    <xf numFmtId="0" fontId="0" fillId="0" borderId="0" xfId="0" applyAlignment="1">
      <alignment horizontal="right" vertical="center"/>
    </xf>
    <xf numFmtId="165" fontId="0" fillId="0" borderId="0" xfId="1" applyNumberFormat="1" applyFont="1" applyBorder="1" applyAlignment="1">
      <alignment vertical="center"/>
    </xf>
    <xf numFmtId="165" fontId="0" fillId="0" borderId="0" xfId="1" applyNumberFormat="1" applyFont="1" applyFill="1" applyBorder="1" applyAlignment="1">
      <alignment horizontal="center" vertical="center"/>
    </xf>
    <xf numFmtId="164" fontId="0" fillId="0" borderId="0" xfId="1" applyNumberFormat="1" applyFont="1" applyFill="1" applyAlignment="1">
      <alignment vertical="center"/>
    </xf>
    <xf numFmtId="0" fontId="3" fillId="0" borderId="0" xfId="0" applyFont="1" applyAlignment="1">
      <alignment vertic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5624AA-0E27-934A-80F0-47EBF51D918A}">
  <dimension ref="A1:K93"/>
  <sheetViews>
    <sheetView tabSelected="1" workbookViewId="0">
      <selection sqref="A1:XFD1048576"/>
    </sheetView>
  </sheetViews>
  <sheetFormatPr baseColWidth="10" defaultRowHeight="16" x14ac:dyDescent="0.2"/>
  <cols>
    <col min="1" max="1" width="27.5" style="6" bestFit="1" customWidth="1"/>
    <col min="2" max="2" width="12.33203125" style="3" customWidth="1"/>
    <col min="3" max="3" width="23" style="3" customWidth="1"/>
    <col min="4" max="4" width="12.33203125" style="3" customWidth="1"/>
    <col min="5" max="5" width="22.33203125" style="7" customWidth="1"/>
    <col min="6" max="6" width="11.1640625" style="3" bestFit="1" customWidth="1"/>
    <col min="7" max="7" width="23" style="7" bestFit="1" customWidth="1"/>
    <col min="8" max="8" width="12.6640625" style="17" customWidth="1"/>
    <col min="9" max="9" width="11.1640625" style="7" customWidth="1"/>
    <col min="10" max="10" width="23.1640625" style="7" customWidth="1"/>
    <col min="11" max="16384" width="10.83203125" style="7"/>
  </cols>
  <sheetData>
    <row r="1" spans="1:11" ht="25" customHeight="1" x14ac:dyDescent="0.2">
      <c r="A1" s="1" t="s">
        <v>0</v>
      </c>
      <c r="B1" s="2"/>
      <c r="C1" s="1" t="s">
        <v>1</v>
      </c>
      <c r="E1" s="1" t="s">
        <v>2</v>
      </c>
      <c r="F1" s="4"/>
      <c r="G1" s="2" t="s">
        <v>3</v>
      </c>
      <c r="H1" s="5"/>
      <c r="I1" s="6"/>
    </row>
    <row r="2" spans="1:11" ht="25" customHeight="1" x14ac:dyDescent="0.2">
      <c r="A2" s="6" t="s">
        <v>4</v>
      </c>
      <c r="B2" s="3">
        <v>44000</v>
      </c>
      <c r="C2" s="6" t="s">
        <v>5</v>
      </c>
      <c r="D2" s="3">
        <v>2000</v>
      </c>
      <c r="E2" s="8" t="s">
        <v>6</v>
      </c>
      <c r="F2" s="9">
        <v>0</v>
      </c>
      <c r="G2" s="10" t="s">
        <v>7</v>
      </c>
      <c r="H2" s="11">
        <v>10000</v>
      </c>
      <c r="I2" s="10"/>
      <c r="K2" s="3"/>
    </row>
    <row r="3" spans="1:11" ht="25" customHeight="1" x14ac:dyDescent="0.2">
      <c r="A3" s="6" t="s">
        <v>8</v>
      </c>
      <c r="B3" s="3">
        <v>11100</v>
      </c>
      <c r="C3" s="3" t="s">
        <v>9</v>
      </c>
      <c r="D3" s="3">
        <v>1000</v>
      </c>
      <c r="E3" s="8" t="s">
        <v>10</v>
      </c>
      <c r="F3" s="9">
        <v>0</v>
      </c>
      <c r="G3" s="12" t="s">
        <v>11</v>
      </c>
      <c r="H3" s="9">
        <v>0</v>
      </c>
      <c r="K3" s="13"/>
    </row>
    <row r="4" spans="1:11" ht="25" customHeight="1" x14ac:dyDescent="0.2">
      <c r="A4" s="6" t="s">
        <v>12</v>
      </c>
      <c r="B4" s="13">
        <v>3000</v>
      </c>
      <c r="C4" s="7" t="s">
        <v>13</v>
      </c>
      <c r="D4" s="13">
        <v>21000</v>
      </c>
      <c r="E4" s="8" t="s">
        <v>14</v>
      </c>
      <c r="F4" s="9">
        <v>0</v>
      </c>
      <c r="G4" s="12" t="s">
        <v>15</v>
      </c>
      <c r="H4" s="9">
        <v>0</v>
      </c>
      <c r="J4" s="3"/>
    </row>
    <row r="5" spans="1:11" ht="25" customHeight="1" x14ac:dyDescent="0.2">
      <c r="A5" s="6" t="s">
        <v>16</v>
      </c>
      <c r="B5" s="3">
        <v>400</v>
      </c>
      <c r="C5" s="7" t="s">
        <v>17</v>
      </c>
      <c r="D5" s="13">
        <v>3500</v>
      </c>
      <c r="E5" s="8" t="s">
        <v>18</v>
      </c>
      <c r="F5" s="9">
        <v>0</v>
      </c>
      <c r="G5" s="7" t="s">
        <v>19</v>
      </c>
      <c r="H5" s="14">
        <v>5000</v>
      </c>
      <c r="J5" s="15"/>
      <c r="K5" s="16"/>
    </row>
    <row r="6" spans="1:11" ht="25" customHeight="1" x14ac:dyDescent="0.2">
      <c r="A6" s="6" t="s">
        <v>20</v>
      </c>
      <c r="B6" s="3">
        <v>800</v>
      </c>
      <c r="C6" s="6" t="s">
        <v>21</v>
      </c>
      <c r="D6" s="15">
        <v>10000</v>
      </c>
      <c r="E6" s="8" t="s">
        <v>22</v>
      </c>
      <c r="F6" s="9">
        <v>0</v>
      </c>
      <c r="G6" s="7" t="s">
        <v>23</v>
      </c>
      <c r="H6" s="17">
        <v>35000</v>
      </c>
      <c r="J6" s="17"/>
    </row>
    <row r="7" spans="1:11" ht="25" customHeight="1" x14ac:dyDescent="0.2">
      <c r="A7" s="6" t="s">
        <v>24</v>
      </c>
      <c r="B7" s="3">
        <v>890</v>
      </c>
      <c r="C7" s="7" t="s">
        <v>25</v>
      </c>
      <c r="D7" s="15">
        <v>5000</v>
      </c>
      <c r="E7" s="8" t="s">
        <v>26</v>
      </c>
      <c r="F7" s="9">
        <v>0</v>
      </c>
      <c r="G7" s="7" t="s">
        <v>27</v>
      </c>
      <c r="H7" s="14">
        <v>15000</v>
      </c>
      <c r="J7" s="14"/>
    </row>
    <row r="8" spans="1:11" ht="25" customHeight="1" x14ac:dyDescent="0.2">
      <c r="A8" s="6" t="s">
        <v>28</v>
      </c>
      <c r="B8" s="3">
        <v>3500</v>
      </c>
      <c r="C8" s="7" t="s">
        <v>29</v>
      </c>
      <c r="D8" s="13">
        <v>3750</v>
      </c>
      <c r="E8" s="8" t="s">
        <v>30</v>
      </c>
      <c r="F8" s="9">
        <v>0</v>
      </c>
      <c r="G8" s="7" t="s">
        <v>31</v>
      </c>
      <c r="H8" s="17">
        <v>46000</v>
      </c>
      <c r="J8" s="3"/>
    </row>
    <row r="9" spans="1:11" ht="25" customHeight="1" x14ac:dyDescent="0.2">
      <c r="A9" s="6" t="s">
        <v>32</v>
      </c>
      <c r="B9" s="3">
        <v>2000</v>
      </c>
      <c r="C9" s="6" t="s">
        <v>33</v>
      </c>
      <c r="D9" s="3">
        <v>5000</v>
      </c>
      <c r="E9" s="8" t="s">
        <v>34</v>
      </c>
      <c r="F9" s="9">
        <v>0</v>
      </c>
      <c r="G9" s="7" t="s">
        <v>35</v>
      </c>
      <c r="H9" s="14">
        <v>10000</v>
      </c>
      <c r="J9" s="13"/>
    </row>
    <row r="10" spans="1:11" ht="25" customHeight="1" x14ac:dyDescent="0.2">
      <c r="A10" s="6" t="s">
        <v>36</v>
      </c>
      <c r="B10" s="3">
        <v>10000</v>
      </c>
      <c r="E10" s="18" t="s">
        <v>37</v>
      </c>
      <c r="F10" s="19">
        <v>1000</v>
      </c>
      <c r="G10" s="6" t="s">
        <v>38</v>
      </c>
      <c r="H10" s="20">
        <v>358500</v>
      </c>
      <c r="J10" s="15"/>
    </row>
    <row r="11" spans="1:11" ht="25" customHeight="1" x14ac:dyDescent="0.2">
      <c r="A11" s="6" t="s">
        <v>39</v>
      </c>
      <c r="B11" s="3">
        <v>850</v>
      </c>
      <c r="C11" s="7"/>
      <c r="D11" s="13"/>
      <c r="E11" s="6" t="s">
        <v>40</v>
      </c>
      <c r="F11" s="17">
        <v>1000</v>
      </c>
      <c r="G11" s="6" t="s">
        <v>41</v>
      </c>
      <c r="H11" s="20">
        <v>10000</v>
      </c>
      <c r="I11" s="6"/>
    </row>
    <row r="12" spans="1:11" ht="25" customHeight="1" x14ac:dyDescent="0.2">
      <c r="A12" s="6" t="s">
        <v>42</v>
      </c>
      <c r="B12" s="3">
        <v>250</v>
      </c>
      <c r="C12" s="6"/>
      <c r="D12" s="7"/>
      <c r="E12" s="18" t="s">
        <v>43</v>
      </c>
      <c r="F12" s="19">
        <v>1000</v>
      </c>
      <c r="G12" s="6" t="s">
        <v>44</v>
      </c>
      <c r="H12" s="20"/>
      <c r="J12" s="21"/>
    </row>
    <row r="13" spans="1:11" ht="25" customHeight="1" x14ac:dyDescent="0.2">
      <c r="A13" s="6" t="s">
        <v>45</v>
      </c>
      <c r="B13" s="3">
        <v>5000</v>
      </c>
      <c r="C13" s="6"/>
      <c r="E13" s="6" t="s">
        <v>46</v>
      </c>
      <c r="F13" s="17">
        <v>1000</v>
      </c>
      <c r="G13" s="22" t="s">
        <v>47</v>
      </c>
      <c r="H13" s="23">
        <v>11000</v>
      </c>
    </row>
    <row r="14" spans="1:11" ht="25" customHeight="1" x14ac:dyDescent="0.2">
      <c r="A14" s="6" t="s">
        <v>48</v>
      </c>
      <c r="B14" s="3">
        <v>2000</v>
      </c>
      <c r="C14" s="6"/>
      <c r="E14" s="7" t="s">
        <v>49</v>
      </c>
      <c r="F14" s="17">
        <v>1000</v>
      </c>
      <c r="G14" s="22" t="s">
        <v>50</v>
      </c>
      <c r="H14" s="23">
        <v>4000</v>
      </c>
    </row>
    <row r="15" spans="1:11" ht="25" customHeight="1" x14ac:dyDescent="0.2">
      <c r="A15" s="6" t="s">
        <v>51</v>
      </c>
      <c r="B15" s="3">
        <v>3500</v>
      </c>
      <c r="C15" s="6"/>
      <c r="E15" s="7" t="s">
        <v>52</v>
      </c>
      <c r="F15" s="3">
        <v>500</v>
      </c>
      <c r="G15" s="22" t="s">
        <v>53</v>
      </c>
      <c r="H15" s="23">
        <v>10000</v>
      </c>
    </row>
    <row r="16" spans="1:11" ht="25" customHeight="1" x14ac:dyDescent="0.2">
      <c r="A16" s="6" t="s">
        <v>54</v>
      </c>
      <c r="B16" s="3">
        <v>2400</v>
      </c>
      <c r="C16" s="6"/>
      <c r="E16" s="7" t="s">
        <v>55</v>
      </c>
      <c r="F16" s="3">
        <v>500</v>
      </c>
      <c r="G16" s="22" t="s">
        <v>56</v>
      </c>
      <c r="H16" s="23">
        <v>5000</v>
      </c>
    </row>
    <row r="17" spans="1:8" ht="25" customHeight="1" x14ac:dyDescent="0.2">
      <c r="A17" s="6" t="s">
        <v>57</v>
      </c>
      <c r="B17" s="3">
        <v>7000</v>
      </c>
      <c r="C17" s="6">
        <f>7000-4000</f>
        <v>3000</v>
      </c>
      <c r="E17" s="7" t="s">
        <v>58</v>
      </c>
      <c r="F17" s="3">
        <v>500</v>
      </c>
      <c r="H17" s="22"/>
    </row>
    <row r="18" spans="1:8" ht="25" customHeight="1" x14ac:dyDescent="0.2">
      <c r="A18" s="6" t="s">
        <v>59</v>
      </c>
      <c r="B18" s="3">
        <v>3500</v>
      </c>
      <c r="C18" s="6"/>
      <c r="E18" s="18" t="s">
        <v>60</v>
      </c>
      <c r="F18" s="24">
        <v>2900</v>
      </c>
      <c r="H18" s="22"/>
    </row>
    <row r="19" spans="1:8" ht="25" customHeight="1" x14ac:dyDescent="0.2">
      <c r="A19" s="6" t="s">
        <v>61</v>
      </c>
      <c r="B19" s="25">
        <v>750</v>
      </c>
      <c r="C19" s="6"/>
      <c r="E19" s="6" t="s">
        <v>62</v>
      </c>
      <c r="F19" s="3">
        <v>3100</v>
      </c>
      <c r="H19" s="22"/>
    </row>
    <row r="20" spans="1:8" ht="25" customHeight="1" x14ac:dyDescent="0.2">
      <c r="A20" s="6" t="s">
        <v>63</v>
      </c>
      <c r="B20" s="25">
        <v>3000</v>
      </c>
      <c r="E20" s="6" t="s">
        <v>64</v>
      </c>
      <c r="F20" s="13">
        <v>2000</v>
      </c>
      <c r="H20" s="22"/>
    </row>
    <row r="21" spans="1:8" ht="25" customHeight="1" x14ac:dyDescent="0.2">
      <c r="A21" s="6" t="s">
        <v>65</v>
      </c>
      <c r="B21" s="3">
        <v>1000</v>
      </c>
      <c r="C21" s="7" t="s">
        <v>66</v>
      </c>
      <c r="E21" s="7" t="s">
        <v>67</v>
      </c>
      <c r="F21" s="3">
        <v>12000</v>
      </c>
    </row>
    <row r="22" spans="1:8" ht="25" customHeight="1" x14ac:dyDescent="0.2">
      <c r="A22" s="6" t="s">
        <v>68</v>
      </c>
      <c r="B22" s="3">
        <v>2500</v>
      </c>
      <c r="C22" s="7"/>
      <c r="E22" s="7" t="s">
        <v>69</v>
      </c>
      <c r="F22" s="3">
        <v>50000</v>
      </c>
      <c r="H22" s="22"/>
    </row>
    <row r="23" spans="1:8" ht="25" customHeight="1" x14ac:dyDescent="0.2">
      <c r="A23" s="6" t="s">
        <v>70</v>
      </c>
      <c r="B23" s="3">
        <v>1000</v>
      </c>
      <c r="C23" s="7" t="s">
        <v>71</v>
      </c>
    </row>
    <row r="24" spans="1:8" ht="25" customHeight="1" x14ac:dyDescent="0.2">
      <c r="A24" s="6" t="s">
        <v>72</v>
      </c>
      <c r="B24" s="3">
        <v>2500</v>
      </c>
      <c r="C24" s="7"/>
      <c r="D24" s="7"/>
      <c r="F24" s="7"/>
      <c r="H24" s="22"/>
    </row>
    <row r="25" spans="1:8" ht="25" customHeight="1" x14ac:dyDescent="0.2">
      <c r="A25" s="6" t="s">
        <v>73</v>
      </c>
      <c r="B25" s="3">
        <v>1000</v>
      </c>
      <c r="C25" s="7" t="s">
        <v>74</v>
      </c>
      <c r="D25" s="3">
        <f>SUM(D2:D24)</f>
        <v>51250</v>
      </c>
      <c r="E25" s="3"/>
      <c r="F25" s="3">
        <f t="shared" ref="F25:H25" si="0">SUM(F2:F24)</f>
        <v>76500</v>
      </c>
      <c r="G25" s="3"/>
      <c r="H25" s="3">
        <f t="shared" si="0"/>
        <v>519500</v>
      </c>
    </row>
    <row r="26" spans="1:8" ht="25" customHeight="1" x14ac:dyDescent="0.2">
      <c r="A26" s="6" t="s">
        <v>75</v>
      </c>
      <c r="B26" s="3">
        <v>2500</v>
      </c>
      <c r="D26" s="7"/>
      <c r="F26" s="7"/>
      <c r="H26" s="22"/>
    </row>
    <row r="27" spans="1:8" ht="25" customHeight="1" x14ac:dyDescent="0.2">
      <c r="A27" s="6" t="s">
        <v>76</v>
      </c>
      <c r="B27" s="3">
        <v>1000</v>
      </c>
      <c r="C27" s="7" t="s">
        <v>77</v>
      </c>
      <c r="D27" s="7"/>
      <c r="F27" s="7"/>
      <c r="H27" s="22"/>
    </row>
    <row r="28" spans="1:8" ht="25" customHeight="1" x14ac:dyDescent="0.2">
      <c r="A28" s="6" t="s">
        <v>78</v>
      </c>
      <c r="B28" s="3">
        <v>2500</v>
      </c>
      <c r="D28" s="7"/>
      <c r="F28" s="7"/>
      <c r="H28" s="22"/>
    </row>
    <row r="29" spans="1:8" ht="25" customHeight="1" x14ac:dyDescent="0.2">
      <c r="A29" s="6" t="s">
        <v>79</v>
      </c>
      <c r="B29" s="3">
        <v>1000</v>
      </c>
      <c r="C29" s="7" t="s">
        <v>80</v>
      </c>
      <c r="D29" s="7"/>
      <c r="F29" s="7"/>
      <c r="H29" s="22"/>
    </row>
    <row r="30" spans="1:8" ht="25" customHeight="1" x14ac:dyDescent="0.2">
      <c r="A30" s="6" t="s">
        <v>81</v>
      </c>
      <c r="B30" s="3">
        <v>2500</v>
      </c>
      <c r="D30" s="7"/>
      <c r="F30" s="7"/>
    </row>
    <row r="31" spans="1:8" ht="25" customHeight="1" x14ac:dyDescent="0.2">
      <c r="C31" s="7"/>
      <c r="D31" s="7"/>
      <c r="F31" s="7"/>
    </row>
    <row r="32" spans="1:8" ht="25" customHeight="1" x14ac:dyDescent="0.2">
      <c r="C32" s="7"/>
      <c r="D32" s="7"/>
      <c r="F32" s="7"/>
    </row>
    <row r="33" spans="1:9" ht="25" customHeight="1" x14ac:dyDescent="0.2">
      <c r="B33" s="3">
        <f>SUM(B2:B32)</f>
        <v>121440</v>
      </c>
      <c r="C33" s="7"/>
    </row>
    <row r="35" spans="1:9" ht="25" customHeight="1" x14ac:dyDescent="0.2">
      <c r="A35" s="6" t="s">
        <v>0</v>
      </c>
      <c r="B35" s="3">
        <f>B33</f>
        <v>121440</v>
      </c>
    </row>
    <row r="36" spans="1:9" ht="25" customHeight="1" x14ac:dyDescent="0.2">
      <c r="A36" s="6" t="s">
        <v>1</v>
      </c>
      <c r="B36" s="3">
        <f>D25</f>
        <v>51250</v>
      </c>
    </row>
    <row r="37" spans="1:9" ht="25" customHeight="1" x14ac:dyDescent="0.2">
      <c r="A37" s="6" t="s">
        <v>2</v>
      </c>
      <c r="B37" s="3">
        <f>F25</f>
        <v>76500</v>
      </c>
    </row>
    <row r="38" spans="1:9" s="26" customFormat="1" ht="25" customHeight="1" x14ac:dyDescent="0.2">
      <c r="A38" s="6" t="s">
        <v>3</v>
      </c>
      <c r="B38" s="3">
        <f>H25</f>
        <v>519500</v>
      </c>
      <c r="C38" s="3"/>
      <c r="D38" s="3"/>
      <c r="E38" s="7"/>
      <c r="F38" s="3"/>
      <c r="G38" s="7"/>
      <c r="H38" s="17"/>
      <c r="I38" s="7"/>
    </row>
    <row r="40" spans="1:9" ht="25" customHeight="1" x14ac:dyDescent="0.2">
      <c r="A40" s="1"/>
      <c r="B40" s="2">
        <f>SUM(B35:B39)</f>
        <v>768690</v>
      </c>
    </row>
    <row r="42" spans="1:9" ht="25" customHeight="1" x14ac:dyDescent="0.2">
      <c r="A42" s="6" t="s">
        <v>82</v>
      </c>
      <c r="B42" s="3">
        <v>204400</v>
      </c>
      <c r="C42" s="6"/>
    </row>
    <row r="43" spans="1:9" ht="25" customHeight="1" x14ac:dyDescent="0.2">
      <c r="A43" s="6" t="s">
        <v>83</v>
      </c>
      <c r="B43" s="3">
        <v>50000</v>
      </c>
      <c r="I43" s="26"/>
    </row>
    <row r="44" spans="1:9" ht="25" customHeight="1" x14ac:dyDescent="0.2">
      <c r="B44" s="3">
        <f>SUM(B42:B43)</f>
        <v>254400</v>
      </c>
    </row>
    <row r="45" spans="1:9" ht="25" customHeight="1" x14ac:dyDescent="0.2">
      <c r="B45" s="3">
        <f>B40-B44</f>
        <v>514290</v>
      </c>
    </row>
    <row r="46" spans="1:9" ht="25" customHeight="1" x14ac:dyDescent="0.2">
      <c r="B46" s="20"/>
      <c r="C46" s="20"/>
    </row>
    <row r="47" spans="1:9" ht="25" customHeight="1" x14ac:dyDescent="0.2">
      <c r="B47" s="20"/>
      <c r="C47" s="20"/>
    </row>
    <row r="48" spans="1:9" ht="25" customHeight="1" x14ac:dyDescent="0.2">
      <c r="A48" s="22"/>
      <c r="B48" s="20"/>
      <c r="C48" s="20"/>
    </row>
    <row r="49" spans="1:3" ht="25" customHeight="1" x14ac:dyDescent="0.2">
      <c r="B49" s="20"/>
      <c r="C49" s="20"/>
    </row>
    <row r="50" spans="1:3" ht="25" customHeight="1" x14ac:dyDescent="0.2">
      <c r="A50" s="22"/>
      <c r="B50" s="20"/>
      <c r="C50" s="20"/>
    </row>
    <row r="51" spans="1:3" ht="25" customHeight="1" x14ac:dyDescent="0.2">
      <c r="B51" s="20"/>
      <c r="C51" s="20"/>
    </row>
    <row r="52" spans="1:3" ht="25" customHeight="1" x14ac:dyDescent="0.2">
      <c r="B52" s="20"/>
      <c r="C52" s="20"/>
    </row>
    <row r="53" spans="1:3" ht="25" customHeight="1" x14ac:dyDescent="0.2">
      <c r="B53" s="20"/>
      <c r="C53" s="20"/>
    </row>
    <row r="54" spans="1:3" ht="25" customHeight="1" x14ac:dyDescent="0.2">
      <c r="B54" s="20"/>
      <c r="C54" s="20"/>
    </row>
    <row r="55" spans="1:3" ht="25" customHeight="1" x14ac:dyDescent="0.2">
      <c r="B55" s="20"/>
      <c r="C55" s="20"/>
    </row>
    <row r="56" spans="1:3" ht="25" customHeight="1" x14ac:dyDescent="0.2">
      <c r="B56" s="20"/>
      <c r="C56" s="20"/>
    </row>
    <row r="57" spans="1:3" ht="25" customHeight="1" x14ac:dyDescent="0.2">
      <c r="A57" s="22"/>
      <c r="B57" s="23"/>
      <c r="C57" s="20"/>
    </row>
    <row r="58" spans="1:3" ht="25" customHeight="1" x14ac:dyDescent="0.2">
      <c r="A58" s="22"/>
      <c r="B58" s="23"/>
      <c r="C58" s="20"/>
    </row>
    <row r="59" spans="1:3" ht="25" customHeight="1" x14ac:dyDescent="0.2">
      <c r="A59" s="22"/>
      <c r="B59" s="23"/>
      <c r="C59" s="20"/>
    </row>
    <row r="60" spans="1:3" ht="25" customHeight="1" x14ac:dyDescent="0.2">
      <c r="A60" s="22"/>
      <c r="B60" s="23"/>
      <c r="C60" s="20"/>
    </row>
    <row r="61" spans="1:3" ht="25" customHeight="1" x14ac:dyDescent="0.2">
      <c r="B61" s="20"/>
      <c r="C61" s="20"/>
    </row>
    <row r="62" spans="1:3" ht="25" customHeight="1" x14ac:dyDescent="0.2">
      <c r="B62" s="20"/>
      <c r="C62" s="20"/>
    </row>
    <row r="63" spans="1:3" ht="25" customHeight="1" x14ac:dyDescent="0.2">
      <c r="B63" s="20"/>
      <c r="C63" s="20"/>
    </row>
    <row r="64" spans="1:3" ht="25" customHeight="1" x14ac:dyDescent="0.2">
      <c r="B64" s="20"/>
      <c r="C64" s="20"/>
    </row>
    <row r="65" spans="2:3" ht="25" customHeight="1" x14ac:dyDescent="0.2">
      <c r="B65" s="20"/>
      <c r="C65" s="20"/>
    </row>
    <row r="66" spans="2:3" ht="25" customHeight="1" x14ac:dyDescent="0.2">
      <c r="B66" s="20"/>
      <c r="C66" s="20"/>
    </row>
    <row r="67" spans="2:3" ht="25" customHeight="1" x14ac:dyDescent="0.2">
      <c r="B67" s="20"/>
      <c r="C67" s="20"/>
    </row>
    <row r="68" spans="2:3" ht="25" customHeight="1" x14ac:dyDescent="0.2">
      <c r="B68" s="20"/>
      <c r="C68" s="20"/>
    </row>
    <row r="69" spans="2:3" ht="25" customHeight="1" x14ac:dyDescent="0.2">
      <c r="B69" s="20"/>
      <c r="C69" s="20"/>
    </row>
    <row r="70" spans="2:3" ht="25" customHeight="1" x14ac:dyDescent="0.2">
      <c r="B70" s="20"/>
      <c r="C70" s="20"/>
    </row>
    <row r="71" spans="2:3" ht="25" customHeight="1" x14ac:dyDescent="0.2">
      <c r="B71" s="20"/>
      <c r="C71" s="20"/>
    </row>
    <row r="72" spans="2:3" ht="25" customHeight="1" x14ac:dyDescent="0.2">
      <c r="B72" s="20"/>
      <c r="C72" s="20"/>
    </row>
    <row r="73" spans="2:3" ht="25" customHeight="1" x14ac:dyDescent="0.2">
      <c r="B73" s="20"/>
      <c r="C73" s="20"/>
    </row>
    <row r="74" spans="2:3" ht="25" customHeight="1" x14ac:dyDescent="0.2">
      <c r="B74" s="20"/>
      <c r="C74" s="20"/>
    </row>
    <row r="75" spans="2:3" ht="25" customHeight="1" x14ac:dyDescent="0.2">
      <c r="B75" s="20"/>
      <c r="C75" s="20"/>
    </row>
    <row r="76" spans="2:3" ht="25" customHeight="1" x14ac:dyDescent="0.2">
      <c r="B76" s="20"/>
      <c r="C76" s="20"/>
    </row>
    <row r="77" spans="2:3" ht="25" customHeight="1" x14ac:dyDescent="0.2">
      <c r="B77" s="20"/>
      <c r="C77" s="20"/>
    </row>
    <row r="78" spans="2:3" ht="25" customHeight="1" x14ac:dyDescent="0.2">
      <c r="B78" s="20"/>
      <c r="C78" s="20"/>
    </row>
    <row r="79" spans="2:3" ht="25" customHeight="1" x14ac:dyDescent="0.2">
      <c r="B79" s="20"/>
      <c r="C79" s="20"/>
    </row>
    <row r="80" spans="2:3" ht="25" customHeight="1" x14ac:dyDescent="0.2">
      <c r="B80" s="20"/>
      <c r="C80" s="20"/>
    </row>
    <row r="81" spans="2:3" ht="25" customHeight="1" x14ac:dyDescent="0.2">
      <c r="B81" s="20"/>
      <c r="C81" s="20"/>
    </row>
    <row r="82" spans="2:3" ht="25" customHeight="1" x14ac:dyDescent="0.2">
      <c r="B82" s="20"/>
      <c r="C82" s="20"/>
    </row>
    <row r="83" spans="2:3" ht="25" customHeight="1" x14ac:dyDescent="0.2">
      <c r="B83" s="20"/>
      <c r="C83" s="20"/>
    </row>
    <row r="84" spans="2:3" ht="25" customHeight="1" x14ac:dyDescent="0.2">
      <c r="B84" s="20"/>
      <c r="C84" s="20"/>
    </row>
    <row r="85" spans="2:3" ht="25" customHeight="1" x14ac:dyDescent="0.2">
      <c r="B85" s="20"/>
      <c r="C85" s="20"/>
    </row>
    <row r="86" spans="2:3" ht="25" customHeight="1" x14ac:dyDescent="0.2">
      <c r="B86" s="20"/>
      <c r="C86" s="20"/>
    </row>
    <row r="87" spans="2:3" ht="25" customHeight="1" x14ac:dyDescent="0.2">
      <c r="B87" s="20"/>
      <c r="C87" s="20"/>
    </row>
    <row r="88" spans="2:3" ht="25" customHeight="1" x14ac:dyDescent="0.2">
      <c r="B88" s="20"/>
      <c r="C88" s="20"/>
    </row>
    <row r="89" spans="2:3" ht="25" customHeight="1" x14ac:dyDescent="0.2">
      <c r="B89" s="20"/>
      <c r="C89" s="20"/>
    </row>
    <row r="90" spans="2:3" ht="25" customHeight="1" x14ac:dyDescent="0.2">
      <c r="B90" s="20"/>
      <c r="C90" s="20"/>
    </row>
    <row r="91" spans="2:3" ht="25" customHeight="1" x14ac:dyDescent="0.2">
      <c r="B91" s="20"/>
      <c r="C91" s="20"/>
    </row>
    <row r="92" spans="2:3" ht="25" customHeight="1" x14ac:dyDescent="0.2">
      <c r="B92" s="20"/>
      <c r="C92" s="20"/>
    </row>
    <row r="93" spans="2:3" ht="25" customHeight="1" x14ac:dyDescent="0.2">
      <c r="B93" s="20"/>
      <c r="C93" s="20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Kevin Gilbert</dc:creator>
  <cp:lastModifiedBy>Kevin Gilbert</cp:lastModifiedBy>
  <dcterms:created xsi:type="dcterms:W3CDTF">2025-06-30T02:12:45Z</dcterms:created>
  <dcterms:modified xsi:type="dcterms:W3CDTF">2025-06-30T02:13:05Z</dcterms:modified>
</cp:coreProperties>
</file>